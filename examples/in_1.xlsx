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340"/>
  </bookViews>
  <sheets>
    <sheet name="Sheet1" sheetId="1" r:id="rId1"/>
    <sheet name="Sheet2" sheetId="2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<sst xmlns="http://schemas.openxmlformats.org/spreadsheetml/2006/main" count="47" uniqueCount="34">
  <si>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Фото</t>
  </si>
  <si>
    <t>Наименование</t>
  </si>
  <si>
    <t>Кол-во  коробок</t>
  </si>
  <si>
    <t>Штук в   коробке</t>
  </si>
  <si>
    <t>Кол-во         закупки</t>
  </si>
  <si>
    <t>Цена
(в юанях ¥)</t>
  </si>
  <si>
    <t>Стоимость товаров</t>
  </si>
  <si>
    <t>Доставка по Китаю (¥)</t>
  </si>
  <si>
    <t>Комиссия 5% (¥)</t>
  </si>
  <si>
    <t>Всего сумма</t>
  </si>
  <si>
    <t>Вес коробка</t>
  </si>
  <si>
    <t>Общий вес</t>
  </si>
  <si>
    <t>Общий объем m3</t>
  </si>
  <si>
    <t>Доставка до МСК</t>
  </si>
  <si>
    <t>НДС</t>
  </si>
  <si>
    <t>Пошлина</t>
  </si>
  <si>
    <t>照片</t>
  </si>
  <si>
    <t>品名</t>
  </si>
  <si>
    <t>箱数</t>
  </si>
  <si>
    <t>装箱数量</t>
  </si>
  <si>
    <t>采购量</t>
  </si>
  <si>
    <t>价格</t>
  </si>
  <si>
    <t>货值</t>
  </si>
  <si>
    <t>内陆运费金额</t>
  </si>
  <si>
    <t>服务费</t>
  </si>
  <si>
    <t>总金额</t>
  </si>
  <si>
    <r>
      <rPr>
        <b/>
        <sz val="12"/>
        <color theme="1"/>
        <rFont val="微软雅黑"/>
        <charset val="134"/>
      </rPr>
      <t>单盒重量</t>
    </r>
    <r>
      <rPr>
        <b/>
        <sz val="12"/>
        <color theme="1"/>
        <rFont val="Times New Roman Regular"/>
        <charset val="134"/>
      </rPr>
      <t xml:space="preserve"> </t>
    </r>
    <r>
      <rPr>
        <b/>
        <sz val="12"/>
        <color theme="1"/>
        <rFont val="微软雅黑"/>
        <charset val="134"/>
      </rPr>
      <t>（</t>
    </r>
    <r>
      <rPr>
        <b/>
        <sz val="12"/>
        <color theme="1"/>
        <rFont val="Times New Roman Regular"/>
        <charset val="134"/>
      </rPr>
      <t>kg</t>
    </r>
    <r>
      <rPr>
        <b/>
        <sz val="12"/>
        <color theme="1"/>
        <rFont val="微软雅黑"/>
        <charset val="134"/>
      </rPr>
      <t>）</t>
    </r>
  </si>
  <si>
    <r>
      <rPr>
        <b/>
        <sz val="12"/>
        <color theme="1"/>
        <rFont val="微软雅黑"/>
        <charset val="134"/>
      </rPr>
      <t>总量</t>
    </r>
    <r>
      <rPr>
        <b/>
        <sz val="12"/>
        <color theme="1"/>
        <rFont val="Times New Roman Regular"/>
        <charset val="134"/>
      </rPr>
      <t xml:space="preserve"> </t>
    </r>
    <r>
      <rPr>
        <b/>
        <sz val="12"/>
        <color theme="1"/>
        <rFont val="微软雅黑"/>
        <charset val="134"/>
      </rPr>
      <t>（</t>
    </r>
    <r>
      <rPr>
        <b/>
        <sz val="12"/>
        <color theme="1"/>
        <rFont val="Times New Roman Regular"/>
        <charset val="134"/>
      </rPr>
      <t>kg)</t>
    </r>
  </si>
  <si>
    <r>
      <rPr>
        <b/>
        <sz val="12"/>
        <color theme="1"/>
        <rFont val="微软雅黑"/>
        <charset val="134"/>
      </rPr>
      <t>总容积</t>
    </r>
    <r>
      <rPr>
        <b/>
        <sz val="12"/>
        <color theme="1"/>
        <rFont val="Times New Roman Regular"/>
        <charset val="134"/>
      </rPr>
      <t>m3</t>
    </r>
  </si>
  <si>
    <t>物流费到莫斯科</t>
  </si>
  <si>
    <t>增值税</t>
  </si>
  <si>
    <t>关税</t>
  </si>
  <si>
    <t>地毯</t>
  </si>
  <si>
    <t>Окончательная сумма за логистику рассчитывается после приемки товара на складе отправления, согласно фактических размеров упаковки товара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</si>
</sst>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7" formatCode="&quot;￥&quot;#,##0.00;&quot;￥&quot;\-#,##0.00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\$#,##0.00;\-\$#,##0.00"/>
  </numFmts>
  <fonts count="26">
    <font>
      <sz val="11"/>
      <color theme="1"/>
      <name val="宋体"/>
      <charset val="134"/>
      <scheme val="minor"/>
    </font>
    <font>
      <b/>
      <sz val="12"/>
      <color theme="1"/>
      <name val="Times New Roman Regular"/>
      <charset val="134"/>
    </font>
    <font>
      <b/>
      <sz val="12"/>
      <color theme="1"/>
      <name val="Times New Roman Regular"/>
      <charset val="204"/>
    </font>
    <font>
      <b/>
      <sz val="12"/>
      <color theme="1"/>
      <name val="微软雅黑"/>
      <charset val="134"/>
    </font>
    <font>
      <b/>
      <sz val="12"/>
      <color theme="1"/>
      <name val="宋体"/>
      <charset val="134"/>
    </font>
    <font>
      <b/>
      <sz val="12"/>
      <color rgb="FFFF0000"/>
      <name val="Times New Roman Regular"/>
      <charset val="204"/>
    </font>
    <font>
      <b/>
      <sz val="12"/>
      <color rgb="FFFF0000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8" applyNumberFormat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5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7" fontId="1" fillId="0" borderId="0" xfId="0" applyNumberFormat="1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4" fontId="1" fillId="0" borderId="3" xfId="0" applyNumberFormat="1" applyFont="1" applyFill="1" applyBorder="1" applyAlignment="1">
      <alignment horizontal="center" vertical="center" wrapText="1"/>
    </xf>
    <xf numFmtId="4" fontId="1" fillId="0" borderId="0" xfId="0" applyNumberFormat="1" applyFont="1" applyFill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3" fillId="0" borderId="4" xfId="0" applyNumberFormat="1" applyFont="1" applyBorder="1" applyAlignment="1">
      <alignment horizontal="center" vertical="center" wrapText="1"/>
    </xf>
    <xf numFmtId="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7" fontId="4" fillId="0" borderId="0" xfId="0" applyNumberFormat="1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4" fontId="2" fillId="0" borderId="3" xfId="0" applyNumberFormat="1" applyFont="1" applyFill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" fontId="2" fillId="0" borderId="0" xfId="0" applyNumberFormat="1" applyFont="1" applyBorder="1" applyAlignment="1">
      <alignment horizontal="center" vertical="center"/>
    </xf>
    <xf numFmtId="4" fontId="5" fillId="0" borderId="0" xfId="0" applyNumberFormat="1" applyFont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7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188595</xdr:colOff>
      <xdr:row>2</xdr:row>
      <xdr:rowOff>73660</xdr:rowOff>
    </xdr:from>
    <xdr:to>
      <xdr:col>0</xdr:col>
      <xdr:colOff>1203325</xdr:colOff>
      <xdr:row>2</xdr:row>
      <xdr:rowOff>1147445</xdr:rowOff>
    </xdr:to>
    <xdr:pic>
      <xdr:nvPicPr>
        <xdr:cNvPr id="17" name="Рисунок 1" descr="C:\Users\Vladimir_2.BV-PC\Desktop\Коврик ВОРОСОВЫЙ.jpg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595" y="1102360"/>
          <a:ext cx="1014730" cy="1073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86360</xdr:colOff>
      <xdr:row>3</xdr:row>
      <xdr:rowOff>111760</xdr:rowOff>
    </xdr:from>
    <xdr:to>
      <xdr:col>0</xdr:col>
      <xdr:colOff>1242695</xdr:colOff>
      <xdr:row>3</xdr:row>
      <xdr:rowOff>1120775</xdr:rowOff>
    </xdr:to>
    <xdr:pic>
      <xdr:nvPicPr>
        <xdr:cNvPr id="18" name="Рисунок 8" descr="https://cbu01.alicdn.com/img/ibank/O1CN01bFWJAS2Dz2Q3BAnOy_!!2200730418679-0-cib.jpg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360" y="2409825"/>
          <a:ext cx="1156335" cy="1009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67945</xdr:colOff>
      <xdr:row>4</xdr:row>
      <xdr:rowOff>90805</xdr:rowOff>
    </xdr:from>
    <xdr:to>
      <xdr:col>0</xdr:col>
      <xdr:colOff>1243330</xdr:colOff>
      <xdr:row>4</xdr:row>
      <xdr:rowOff>1157605</xdr:rowOff>
    </xdr:to>
    <xdr:pic>
      <xdr:nvPicPr>
        <xdr:cNvPr id="19" name="Рисунок 9" descr="https://cbu01.alicdn.com/img/ibank/O1CN01WhhV4h2Dz2QIpbTUg_!!2200730418679-0-cib.jpg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945" y="3658235"/>
          <a:ext cx="117538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67945</xdr:colOff>
      <xdr:row>5</xdr:row>
      <xdr:rowOff>111760</xdr:rowOff>
    </xdr:from>
    <xdr:to>
      <xdr:col>0</xdr:col>
      <xdr:colOff>1243330</xdr:colOff>
      <xdr:row>5</xdr:row>
      <xdr:rowOff>1178560</xdr:rowOff>
    </xdr:to>
    <xdr:pic>
      <xdr:nvPicPr>
        <xdr:cNvPr id="20" name="Рисунок 10" descr="https://cbu01.alicdn.com/img/ibank/O1CN01WhhV4h2Dz2QIpbTUg_!!2200730418679-0-cib.jpg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945" y="4910455"/>
          <a:ext cx="117538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45720</xdr:colOff>
      <xdr:row>6</xdr:row>
      <xdr:rowOff>79375</xdr:rowOff>
    </xdr:from>
    <xdr:to>
      <xdr:col>0</xdr:col>
      <xdr:colOff>1221105</xdr:colOff>
      <xdr:row>6</xdr:row>
      <xdr:rowOff>1146175</xdr:rowOff>
    </xdr:to>
    <xdr:pic>
      <xdr:nvPicPr>
        <xdr:cNvPr id="21" name="Рисунок 11" descr="https://cbu01.alicdn.com/img/ibank/O1CN01WhhV4h2Dz2QIpbTUg_!!2200730418679-0-cib.jpg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720" y="6109335"/>
          <a:ext cx="1175385" cy="1066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54610</xdr:colOff>
      <xdr:row>7</xdr:row>
      <xdr:rowOff>97155</xdr:rowOff>
    </xdr:from>
    <xdr:to>
      <xdr:col>0</xdr:col>
      <xdr:colOff>1220470</xdr:colOff>
      <xdr:row>7</xdr:row>
      <xdr:rowOff>1144270</xdr:rowOff>
    </xdr:to>
    <xdr:pic>
      <xdr:nvPicPr>
        <xdr:cNvPr id="22" name="Рисунок 12" descr="https://cbu01.alicdn.com/img/ibank/O1CN01RWSS3u2Dz2Q6xYrtt_!!2200730418679-0-cib.jpg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610" y="7358380"/>
          <a:ext cx="1165860" cy="1047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146685</xdr:colOff>
      <xdr:row>8</xdr:row>
      <xdr:rowOff>72390</xdr:rowOff>
    </xdr:from>
    <xdr:to>
      <xdr:col>0</xdr:col>
      <xdr:colOff>1165225</xdr:colOff>
      <xdr:row>8</xdr:row>
      <xdr:rowOff>1119505</xdr:rowOff>
    </xdr:to>
    <xdr:pic>
      <xdr:nvPicPr>
        <xdr:cNvPr id="23" name="Рисунок 13" descr="https://cbu01.alicdn.com/img/ibank/O1CN01RWSS3u2Dz2Q6xYrtt_!!2200730418679-0-cib.jpg"/>
        <xdr:cNvPicPr>
          <a:picLocks noChangeAspect="1" noChangeArrowheads="1"/>
        </xdr:cNvPicPr>
      </xdr:nvPicPr>
      <xdr:blipFill>
        <a:blip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685" y="8564880"/>
          <a:ext cx="1018540" cy="10471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109220</xdr:colOff>
      <xdr:row>9</xdr:row>
      <xdr:rowOff>154305</xdr:rowOff>
    </xdr:from>
    <xdr:to>
      <xdr:col>0</xdr:col>
      <xdr:colOff>1109345</xdr:colOff>
      <xdr:row>9</xdr:row>
      <xdr:rowOff>1154430</xdr:rowOff>
    </xdr:to>
    <xdr:pic>
      <xdr:nvPicPr>
        <xdr:cNvPr id="24" name="Рисунок 14" descr="https://cbu01.alicdn.com/img/ibank/O1CN01ppMT862Dz2Q6XGmEp_!!2200730418679-0-cib.jpg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220" y="9878060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79375</xdr:colOff>
      <xdr:row>10</xdr:row>
      <xdr:rowOff>246380</xdr:rowOff>
    </xdr:from>
    <xdr:to>
      <xdr:col>0</xdr:col>
      <xdr:colOff>1079500</xdr:colOff>
      <xdr:row>10</xdr:row>
      <xdr:rowOff>1246505</xdr:rowOff>
    </xdr:to>
    <xdr:pic>
      <xdr:nvPicPr>
        <xdr:cNvPr id="25" name="Рисунок 15" descr="https://cbu01.alicdn.com/img/ibank/O1CN01ppMT862Dz2Q6XGmEp_!!2200730418679-0-cib.jpg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375" y="11391900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67945</xdr:colOff>
      <xdr:row>11</xdr:row>
      <xdr:rowOff>213360</xdr:rowOff>
    </xdr:from>
    <xdr:to>
      <xdr:col>0</xdr:col>
      <xdr:colOff>1068070</xdr:colOff>
      <xdr:row>11</xdr:row>
      <xdr:rowOff>1213485</xdr:rowOff>
    </xdr:to>
    <xdr:pic>
      <xdr:nvPicPr>
        <xdr:cNvPr id="26" name="Рисунок 16" descr="https://cbu01.alicdn.com/img/ibank/O1CN01ppMT862Dz2Q6XGmEp_!!2200730418679-0-cib.jpg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7945" y="12780645"/>
          <a:ext cx="1000125" cy="100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34290</xdr:colOff>
      <xdr:row>12</xdr:row>
      <xdr:rowOff>151765</xdr:rowOff>
    </xdr:from>
    <xdr:to>
      <xdr:col>0</xdr:col>
      <xdr:colOff>1043940</xdr:colOff>
      <xdr:row>12</xdr:row>
      <xdr:rowOff>1161415</xdr:rowOff>
    </xdr:to>
    <xdr:pic>
      <xdr:nvPicPr>
        <xdr:cNvPr id="27" name="Рисунок 17" descr="https://cbu01.alicdn.com/img/ibank/O1CN01sX0qNS2Dz2QPJv6Sr_!!2200730418679-0-cib.jpg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290" y="14140815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45085</xdr:colOff>
      <xdr:row>13</xdr:row>
      <xdr:rowOff>187960</xdr:rowOff>
    </xdr:from>
    <xdr:to>
      <xdr:col>0</xdr:col>
      <xdr:colOff>1054735</xdr:colOff>
      <xdr:row>13</xdr:row>
      <xdr:rowOff>1197610</xdr:rowOff>
    </xdr:to>
    <xdr:pic>
      <xdr:nvPicPr>
        <xdr:cNvPr id="28" name="Рисунок 18" descr="https://cbu01.alicdn.com/img/ibank/O1CN01sX0qNS2Dz2QPJv6Sr_!!2200730418679-0-cib.jpg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085" y="15598775"/>
          <a:ext cx="1009650" cy="1009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tabSelected="1" workbookViewId="0">
      <pane ySplit="2" topLeftCell="A3" activePane="bottomLeft" state="frozen"/>
      <selection/>
      <selection pane="bottomLeft" activeCell="Q4" sqref="Q4"/>
    </sheetView>
  </sheetViews>
  <sheetFormatPr defaultColWidth="9" defaultRowHeight="17.6"/>
  <cols>
    <col min="1" max="1" width="19.2884615384615" style="1" customWidth="1"/>
    <col min="2" max="2" width="16" style="1" customWidth="1"/>
    <col min="3" max="3" width="10" style="1" customWidth="1"/>
    <col min="4" max="4" width="9.43269230769231" style="1" customWidth="1"/>
    <col min="5" max="5" width="10.5673076923077" style="1" customWidth="1"/>
    <col min="6" max="6" width="12.4326923076923" style="3" customWidth="1"/>
    <col min="7" max="7" width="15" style="3" customWidth="1"/>
    <col min="8" max="8" width="14.8557692307692" style="3" customWidth="1"/>
    <col min="9" max="9" width="11.1442307692308" style="3" customWidth="1"/>
    <col min="10" max="10" width="15" style="3" customWidth="1"/>
    <col min="11" max="13" width="16.2307692307692" style="3" customWidth="1"/>
    <col min="14" max="14" width="19.7596153846154" style="1" customWidth="1"/>
    <col min="15" max="15" width="19.5480769230769" style="4" customWidth="1"/>
    <col min="16" max="16" width="13.9423076923077" style="4" customWidth="1"/>
    <col min="17" max="16384" width="9" style="1"/>
  </cols>
  <sheetData>
    <row r="1" s="1" customFormat="1" ht="48.75" customHeight="1" spans="1:16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1" t="s">
        <v>13</v>
      </c>
      <c r="O1" s="4" t="s">
        <v>14</v>
      </c>
      <c r="P1" s="4" t="s">
        <v>15</v>
      </c>
    </row>
    <row r="2" s="1" customFormat="1" ht="32.25" customHeight="1" spans="1:16">
      <c r="A2" s="10" t="s">
        <v>16</v>
      </c>
      <c r="B2" s="11" t="s">
        <v>17</v>
      </c>
      <c r="C2" s="12" t="s">
        <v>18</v>
      </c>
      <c r="D2" s="12" t="s">
        <v>19</v>
      </c>
      <c r="E2" s="11" t="s">
        <v>20</v>
      </c>
      <c r="F2" s="13" t="s">
        <v>21</v>
      </c>
      <c r="G2" s="13" t="s">
        <v>22</v>
      </c>
      <c r="H2" s="13" t="s">
        <v>23</v>
      </c>
      <c r="I2" s="13" t="s">
        <v>24</v>
      </c>
      <c r="J2" s="13" t="s">
        <v>25</v>
      </c>
      <c r="K2" s="14" t="s">
        <v>26</v>
      </c>
      <c r="L2" s="14" t="s">
        <v>27</v>
      </c>
      <c r="M2" s="14" t="s">
        <v>28</v>
      </c>
      <c r="N2" s="15" t="s">
        <v>29</v>
      </c>
      <c r="O2" s="16" t="s">
        <v>30</v>
      </c>
      <c r="P2" s="16" t="s">
        <v>31</v>
      </c>
    </row>
    <row r="3" ht="99.95" customHeight="1" spans="1:16">
      <c r="A3" s="17"/>
      <c r="B3" s="18" t="s">
        <v>32</v>
      </c>
      <c r="C3" s="19">
        <v>3</v>
      </c>
      <c r="D3" s="19">
        <v>20</v>
      </c>
      <c r="E3" s="19">
        <f t="shared" ref="E3:E14" si="0">C3*D3</f>
        <v>60</v>
      </c>
      <c r="F3" s="20">
        <v>23.5</v>
      </c>
      <c r="G3" s="21">
        <f>F3*E3</f>
        <v>1410</v>
      </c>
      <c r="H3" s="21">
        <v>0</v>
      </c>
      <c r="I3" s="21">
        <f>G3*0.05</f>
        <v>70.5</v>
      </c>
      <c r="J3" s="21">
        <f>G3+I3</f>
        <v>1480.5</v>
      </c>
      <c r="K3" s="3">
        <v>0.7525</v>
      </c>
      <c r="L3" s="3">
        <f>K3*C3*D3</f>
        <v>45.15</v>
      </c>
      <c r="M3" s="3">
        <v>0.36</v>
      </c>
      <c r="N3" s="22">
        <v>1.32</v>
      </c>
      <c r="O3" s="4">
        <v>333.81</v>
      </c>
      <c r="P3" s="4">
        <v>107.3</v>
      </c>
    </row>
    <row r="4" ht="99.95" customHeight="1" spans="1:16">
      <c r="A4" s="17"/>
      <c r="B4" s="18" t="s">
        <v>32</v>
      </c>
      <c r="C4" s="19">
        <v>8</v>
      </c>
      <c r="D4" s="19">
        <v>10</v>
      </c>
      <c r="E4" s="19">
        <f t="shared" si="0"/>
        <v>80</v>
      </c>
      <c r="F4" s="20">
        <v>78.5</v>
      </c>
      <c r="G4" s="21">
        <f t="shared" ref="G4:G14" si="1">F4*E4</f>
        <v>6280</v>
      </c>
      <c r="H4" s="21">
        <v>0</v>
      </c>
      <c r="I4" s="21">
        <f t="shared" ref="I4:I15" si="2">G4*0.05</f>
        <v>314</v>
      </c>
      <c r="J4" s="21">
        <f t="shared" ref="J4:J15" si="3">G4+I4</f>
        <v>6594</v>
      </c>
      <c r="K4" s="3">
        <v>2.175</v>
      </c>
      <c r="L4" s="3">
        <f>K4*E4</f>
        <v>174</v>
      </c>
      <c r="M4" s="3">
        <v>1.04</v>
      </c>
      <c r="N4" s="22">
        <v>1.32</v>
      </c>
      <c r="O4" s="4">
        <v>1486.34</v>
      </c>
      <c r="P4" s="4">
        <v>477.91</v>
      </c>
    </row>
    <row r="5" ht="96.95" customHeight="1" spans="1:16">
      <c r="A5" s="17"/>
      <c r="B5" s="18" t="s">
        <v>32</v>
      </c>
      <c r="C5" s="19">
        <v>6</v>
      </c>
      <c r="D5" s="19">
        <v>24</v>
      </c>
      <c r="E5" s="19">
        <f t="shared" si="0"/>
        <v>144</v>
      </c>
      <c r="F5" s="20">
        <v>32.5</v>
      </c>
      <c r="G5" s="21">
        <f t="shared" si="1"/>
        <v>4680</v>
      </c>
      <c r="H5" s="21">
        <v>0</v>
      </c>
      <c r="I5" s="21">
        <f t="shared" si="2"/>
        <v>234</v>
      </c>
      <c r="J5" s="21">
        <f t="shared" si="3"/>
        <v>4914</v>
      </c>
      <c r="K5" s="3">
        <v>0.989583333333333</v>
      </c>
      <c r="L5" s="3">
        <f t="shared" ref="L5:L14" si="4">K5*E5</f>
        <v>142.5</v>
      </c>
      <c r="M5" s="3">
        <v>0.36</v>
      </c>
      <c r="N5" s="22">
        <v>1.32</v>
      </c>
      <c r="O5" s="4">
        <v>1108.18</v>
      </c>
      <c r="P5" s="4">
        <v>356.15</v>
      </c>
    </row>
    <row r="6" ht="96.95" customHeight="1" spans="1:16">
      <c r="A6" s="17"/>
      <c r="B6" s="18" t="s">
        <v>32</v>
      </c>
      <c r="C6" s="19">
        <v>2</v>
      </c>
      <c r="D6" s="19">
        <v>15</v>
      </c>
      <c r="E6" s="19">
        <f t="shared" si="0"/>
        <v>30</v>
      </c>
      <c r="F6" s="20">
        <v>44</v>
      </c>
      <c r="G6" s="21">
        <f t="shared" si="1"/>
        <v>1320</v>
      </c>
      <c r="H6" s="21">
        <v>0</v>
      </c>
      <c r="I6" s="21">
        <f t="shared" si="2"/>
        <v>66</v>
      </c>
      <c r="J6" s="21">
        <f t="shared" si="3"/>
        <v>1386</v>
      </c>
      <c r="K6" s="3">
        <v>1.37</v>
      </c>
      <c r="L6" s="3">
        <f t="shared" si="4"/>
        <v>41.1</v>
      </c>
      <c r="M6" s="3">
        <v>0.24</v>
      </c>
      <c r="N6" s="22">
        <v>1.32</v>
      </c>
      <c r="O6" s="4">
        <v>312.54</v>
      </c>
      <c r="P6" s="4">
        <v>100.45</v>
      </c>
    </row>
    <row r="7" ht="96.95" customHeight="1" spans="1:16">
      <c r="A7" s="17"/>
      <c r="B7" s="18" t="s">
        <v>32</v>
      </c>
      <c r="C7" s="19">
        <v>5</v>
      </c>
      <c r="D7" s="19">
        <v>10</v>
      </c>
      <c r="E7" s="19">
        <f t="shared" si="0"/>
        <v>50</v>
      </c>
      <c r="F7" s="20">
        <v>78.5</v>
      </c>
      <c r="G7" s="21">
        <f t="shared" si="1"/>
        <v>3925</v>
      </c>
      <c r="H7" s="21">
        <v>0</v>
      </c>
      <c r="I7" s="21">
        <f t="shared" si="2"/>
        <v>196.25</v>
      </c>
      <c r="J7" s="21">
        <f t="shared" si="3"/>
        <v>4121.25</v>
      </c>
      <c r="K7" s="3">
        <v>2.425</v>
      </c>
      <c r="L7" s="3">
        <f t="shared" si="4"/>
        <v>121.25</v>
      </c>
      <c r="M7" s="3">
        <v>0.65</v>
      </c>
      <c r="N7" s="22">
        <v>1.32</v>
      </c>
      <c r="O7" s="4">
        <v>930.63</v>
      </c>
      <c r="P7" s="4">
        <v>298.69</v>
      </c>
    </row>
    <row r="8" ht="96.95" customHeight="1" spans="1:16">
      <c r="A8" s="17"/>
      <c r="B8" s="18" t="s">
        <v>32</v>
      </c>
      <c r="C8" s="19">
        <v>3</v>
      </c>
      <c r="D8" s="19">
        <v>20</v>
      </c>
      <c r="E8" s="19">
        <f t="shared" si="0"/>
        <v>60</v>
      </c>
      <c r="F8" s="20">
        <v>32.5</v>
      </c>
      <c r="G8" s="21">
        <f t="shared" si="1"/>
        <v>1950</v>
      </c>
      <c r="H8" s="21">
        <v>0</v>
      </c>
      <c r="I8" s="21">
        <f t="shared" si="2"/>
        <v>97.5</v>
      </c>
      <c r="J8" s="21">
        <f t="shared" si="3"/>
        <v>2047.5</v>
      </c>
      <c r="K8" s="3">
        <v>1.2475</v>
      </c>
      <c r="L8" s="3">
        <f t="shared" si="4"/>
        <v>74.85</v>
      </c>
      <c r="M8" s="3">
        <v>0.24</v>
      </c>
      <c r="N8" s="22">
        <v>1.32</v>
      </c>
      <c r="O8" s="4">
        <v>461.65</v>
      </c>
      <c r="P8" s="4">
        <v>148.4</v>
      </c>
    </row>
    <row r="9" ht="96.95" customHeight="1" spans="1:16">
      <c r="A9" s="17"/>
      <c r="B9" s="18" t="s">
        <v>32</v>
      </c>
      <c r="C9" s="19">
        <v>3</v>
      </c>
      <c r="D9" s="19">
        <v>10</v>
      </c>
      <c r="E9" s="19">
        <f t="shared" si="0"/>
        <v>30</v>
      </c>
      <c r="F9" s="20">
        <v>78.5</v>
      </c>
      <c r="G9" s="21">
        <f t="shared" si="1"/>
        <v>2355</v>
      </c>
      <c r="H9" s="21">
        <v>0</v>
      </c>
      <c r="I9" s="21">
        <f t="shared" si="2"/>
        <v>117.75</v>
      </c>
      <c r="J9" s="21">
        <f t="shared" si="3"/>
        <v>2472.75</v>
      </c>
      <c r="K9" s="3">
        <v>2.175</v>
      </c>
      <c r="L9" s="3">
        <f t="shared" si="4"/>
        <v>65.25</v>
      </c>
      <c r="M9" s="3">
        <v>0.39</v>
      </c>
      <c r="N9" s="22">
        <v>1.32</v>
      </c>
      <c r="O9" s="4">
        <v>557.67</v>
      </c>
      <c r="P9" s="4">
        <v>179.22</v>
      </c>
    </row>
    <row r="10" ht="111.95" customHeight="1" spans="1:16">
      <c r="A10" s="17"/>
      <c r="B10" s="18" t="s">
        <v>32</v>
      </c>
      <c r="C10" s="19">
        <v>7</v>
      </c>
      <c r="D10" s="19">
        <v>24</v>
      </c>
      <c r="E10" s="19">
        <f t="shared" si="0"/>
        <v>168</v>
      </c>
      <c r="F10" s="20">
        <v>32.5</v>
      </c>
      <c r="G10" s="21">
        <f t="shared" si="1"/>
        <v>5460</v>
      </c>
      <c r="H10" s="21">
        <v>0</v>
      </c>
      <c r="I10" s="21">
        <f t="shared" si="2"/>
        <v>273</v>
      </c>
      <c r="J10" s="21">
        <f t="shared" si="3"/>
        <v>5733</v>
      </c>
      <c r="K10" s="3">
        <v>0.939583333333333</v>
      </c>
      <c r="L10" s="3">
        <f t="shared" si="4"/>
        <v>157.85</v>
      </c>
      <c r="M10" s="3">
        <v>0.42</v>
      </c>
      <c r="N10" s="22">
        <v>1.32</v>
      </c>
      <c r="O10" s="4">
        <v>1292.41</v>
      </c>
      <c r="P10" s="4">
        <v>415.51</v>
      </c>
    </row>
    <row r="11" ht="111.95" customHeight="1" spans="1:16">
      <c r="A11" s="17"/>
      <c r="B11" s="18" t="s">
        <v>32</v>
      </c>
      <c r="C11" s="19">
        <v>3</v>
      </c>
      <c r="D11" s="19">
        <v>20</v>
      </c>
      <c r="E11" s="19">
        <f t="shared" si="0"/>
        <v>60</v>
      </c>
      <c r="F11" s="20">
        <v>44</v>
      </c>
      <c r="G11" s="21">
        <f t="shared" si="1"/>
        <v>2640</v>
      </c>
      <c r="H11" s="21">
        <v>0</v>
      </c>
      <c r="I11" s="21">
        <f t="shared" si="2"/>
        <v>132</v>
      </c>
      <c r="J11" s="21">
        <f t="shared" si="3"/>
        <v>2772</v>
      </c>
      <c r="K11" s="3">
        <v>1.2475</v>
      </c>
      <c r="L11" s="3">
        <f t="shared" si="4"/>
        <v>74.85</v>
      </c>
      <c r="M11" s="3">
        <v>0.24</v>
      </c>
      <c r="N11" s="22">
        <v>1.32</v>
      </c>
      <c r="O11" s="4">
        <v>622.78</v>
      </c>
      <c r="P11" s="4">
        <v>200.9</v>
      </c>
    </row>
    <row r="12" ht="111.95" customHeight="1" spans="1:16">
      <c r="A12" s="17"/>
      <c r="B12" s="18" t="s">
        <v>32</v>
      </c>
      <c r="C12" s="19">
        <v>7</v>
      </c>
      <c r="D12" s="19">
        <v>10</v>
      </c>
      <c r="E12" s="19">
        <f t="shared" si="0"/>
        <v>70</v>
      </c>
      <c r="F12" s="20">
        <v>78.5</v>
      </c>
      <c r="G12" s="21">
        <f t="shared" si="1"/>
        <v>5495</v>
      </c>
      <c r="H12" s="21">
        <v>0</v>
      </c>
      <c r="I12" s="21">
        <f t="shared" si="2"/>
        <v>274.75</v>
      </c>
      <c r="J12" s="21">
        <f t="shared" si="3"/>
        <v>5769.75</v>
      </c>
      <c r="K12" s="3">
        <v>2.175</v>
      </c>
      <c r="L12" s="3">
        <f t="shared" si="4"/>
        <v>152.25</v>
      </c>
      <c r="M12" s="3">
        <v>0.91</v>
      </c>
      <c r="N12" s="22">
        <v>1.32</v>
      </c>
      <c r="O12" s="4">
        <v>1300.85</v>
      </c>
      <c r="P12" s="4">
        <v>418.22</v>
      </c>
    </row>
    <row r="13" ht="111.95" customHeight="1" spans="1:16">
      <c r="A13" s="17"/>
      <c r="B13" s="18" t="s">
        <v>32</v>
      </c>
      <c r="C13" s="19">
        <v>4</v>
      </c>
      <c r="D13" s="19">
        <v>16</v>
      </c>
      <c r="E13" s="19">
        <f t="shared" si="0"/>
        <v>64</v>
      </c>
      <c r="F13" s="20">
        <v>36.5</v>
      </c>
      <c r="G13" s="21">
        <f t="shared" si="1"/>
        <v>2336</v>
      </c>
      <c r="H13" s="21">
        <v>0</v>
      </c>
      <c r="I13" s="21">
        <f t="shared" si="2"/>
        <v>116.8</v>
      </c>
      <c r="J13" s="21">
        <f t="shared" si="3"/>
        <v>2452.8</v>
      </c>
      <c r="K13" s="3">
        <v>1.465625</v>
      </c>
      <c r="L13" s="3">
        <f t="shared" si="4"/>
        <v>93.8</v>
      </c>
      <c r="M13" s="3">
        <v>0.48</v>
      </c>
      <c r="N13" s="22">
        <v>1.32</v>
      </c>
      <c r="O13" s="4">
        <v>553.26</v>
      </c>
      <c r="P13" s="4">
        <v>177.77</v>
      </c>
    </row>
    <row r="14" ht="111.95" customHeight="1" spans="1:16">
      <c r="A14" s="17"/>
      <c r="B14" s="18" t="s">
        <v>32</v>
      </c>
      <c r="C14" s="19">
        <v>4</v>
      </c>
      <c r="D14" s="19">
        <v>9</v>
      </c>
      <c r="E14" s="19">
        <f t="shared" si="0"/>
        <v>36</v>
      </c>
      <c r="F14" s="20">
        <v>65</v>
      </c>
      <c r="G14" s="21">
        <f t="shared" si="1"/>
        <v>2340</v>
      </c>
      <c r="H14" s="21">
        <v>0</v>
      </c>
      <c r="I14" s="21">
        <f t="shared" si="2"/>
        <v>117</v>
      </c>
      <c r="J14" s="21">
        <f t="shared" si="3"/>
        <v>2457</v>
      </c>
      <c r="K14" s="3">
        <v>2.26888888888889</v>
      </c>
      <c r="L14" s="3">
        <f t="shared" si="4"/>
        <v>81.68</v>
      </c>
      <c r="M14" s="3">
        <v>0.52</v>
      </c>
      <c r="N14" s="22">
        <v>1.32</v>
      </c>
      <c r="O14" s="4">
        <v>554.18</v>
      </c>
      <c r="P14" s="4">
        <v>178.07</v>
      </c>
    </row>
    <row r="15" s="2" customFormat="1" spans="1:16">
      <c r="A15" s="23"/>
      <c r="B15" s="23"/>
      <c r="C15" s="23">
        <f>SUM(C3:C14)</f>
        <v>55</v>
      </c>
      <c r="D15" s="23"/>
      <c r="E15" s="23">
        <f>SUM(E3:E14)</f>
        <v>852</v>
      </c>
      <c r="F15" s="24"/>
      <c r="G15" s="24">
        <f>SUM(G3:G14)</f>
        <v>40191</v>
      </c>
      <c r="H15" s="24"/>
      <c r="I15" s="24">
        <f t="shared" si="2"/>
        <v>2009.55</v>
      </c>
      <c r="J15" s="25">
        <f t="shared" si="3"/>
        <v>42200.55</v>
      </c>
      <c r="K15" s="26"/>
      <c r="L15" s="26">
        <f>SUM(L3:L14)</f>
        <v>1224.53</v>
      </c>
      <c r="M15" s="26">
        <f>SUM(M3:M14)</f>
        <v>5.85</v>
      </c>
      <c r="O15" s="27">
        <f>SUM(O3:O14)</f>
        <v>9514.3</v>
      </c>
      <c r="P15" s="27">
        <f>SUM(P3:P14)</f>
        <v>3058.59</v>
      </c>
    </row>
    <row r="16" s="2" customFormat="1" ht="30" customHeight="1" spans="1:16">
      <c r="F16" s="28"/>
      <c r="G16" s="28"/>
      <c r="H16" s="28"/>
      <c r="I16" s="28"/>
      <c r="J16" s="26"/>
      <c r="K16" s="26"/>
      <c r="L16" s="26"/>
      <c r="M16" s="26"/>
      <c r="O16" s="27" t="s">
        <v>9</v>
      </c>
      <c r="P16" s="27">
        <f>J15+O15+P15</f>
        <v>54773.44</v>
      </c>
    </row>
    <row r="17" s="2" customFormat="1" ht="30" customHeight="1" spans="1:16">
      <c r="F17" s="28"/>
      <c r="G17" s="28"/>
      <c r="H17" s="28"/>
      <c r="I17" s="28"/>
      <c r="J17" s="26"/>
      <c r="K17" s="26"/>
      <c r="L17" s="26"/>
      <c r="M17" s="26"/>
      <c r="O17" s="27" t="s">
        <v>13</v>
      </c>
      <c r="P17" s="22">
        <f>1.32*L15</f>
        <v>1616.3796</v>
      </c>
    </row>
    <row r="18" s="2" customFormat="1" spans="1:16">
      <c r="F18" s="28"/>
      <c r="G18" s="28"/>
      <c r="H18" s="28"/>
      <c r="I18" s="28"/>
      <c r="J18" s="26"/>
      <c r="K18" s="26"/>
      <c r="L18" s="26"/>
      <c r="M18" s="26"/>
      <c r="O18" s="27"/>
      <c r="P18" s="27"/>
    </row>
    <row r="19" ht="39" customHeight="1" spans="1:16">
      <c r="A19" s="29" t="s">
        <v>33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</sheetData>
  <mergeCells count="1">
    <mergeCell ref="A19:J19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WPS_1735897464</cp:lastModifiedBy>
  <dcterms:created xsi:type="dcterms:W3CDTF">2006-09-17T08:00:00Z</dcterms:created>
  <dcterms:modified xsi:type="dcterms:W3CDTF">2026-03-20T19:16:11Z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FBE285043047099F1E29BD6946409079_43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